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Evaluacion_FinOp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<sst xmlns="http://schemas.openxmlformats.org/spreadsheetml/2006/main" count="73" uniqueCount="73">
  <si>
    <t xml:space="preserve">EVALUACIÓN FINOPS: TCO, ROI Y VAN - PROYECTO AGROSILVANIA CONECTADA (AWS vs ON-PREMISE)</t>
  </si>
  <si>
    <t/>
  </si>
  <si>
    <t xml:space="preserve">Estudiante: Cristian Camilo Tabares Villanueva</t>
  </si>
  <si>
    <t xml:space="preserve">Institución: CUN - Ingeniería de Sistemas</t>
  </si>
  <si>
    <t xml:space="preserve">Materia: COMPUTACION EN LA NUBE / 55550 / PRIMER BLOQUE / 26P05</t>
  </si>
  <si>
    <t xml:space="preserve">Docente: Mario A. Reales</t>
  </si>
  <si>
    <t xml:space="preserve">1. COMPARATIVA DE INVERSIÓN INICIAL (CAPEX)</t>
  </si>
  <si>
    <t xml:space="preserve">Concepto On-Premise</t>
  </si>
  <si>
    <t xml:space="preserve">Costo (USD)</t>
  </si>
  <si>
    <t xml:space="preserve">Concepto AWS Cloud</t>
  </si>
  <si>
    <t>Diferencia</t>
  </si>
  <si>
    <t xml:space="preserve">2x Servidores Rack Dell PowerEdge R650</t>
  </si>
  <si>
    <t xml:space="preserve">Setup inicial y configuración de Terraform / VPC</t>
  </si>
  <si>
    <t xml:space="preserve">Switch Core Cisco Catalyst + Cableado</t>
  </si>
  <si>
    <t xml:space="preserve">Aprovisionamiento de IoT Core y Certificados X.509</t>
  </si>
  <si>
    <t xml:space="preserve">Storage NAS/SAN 12TB Redundante</t>
  </si>
  <si>
    <t xml:space="preserve">Configuración de ECS Fargate y Docker Registry</t>
  </si>
  <si>
    <t xml:space="preserve">Planta eléctrica Diésel + UPS Trifásica APC</t>
  </si>
  <si>
    <t xml:space="preserve">Pipeline CI/CD en AWS CodePipeline</t>
  </si>
  <si>
    <t xml:space="preserve">Aire acondicionado de precisión para Datacenter</t>
  </si>
  <si>
    <t xml:space="preserve">No aplica (Infraestructura Serverless)</t>
  </si>
  <si>
    <t xml:space="preserve">Licenciamiento S.O. Server y Gestor BD</t>
  </si>
  <si>
    <t xml:space="preserve">No aplica (Open Source Linux / Aurora MySQL)</t>
  </si>
  <si>
    <t xml:space="preserve">TOTAL CAPEX INICIAL</t>
  </si>
  <si>
    <t xml:space="preserve">2. COSTOS OPERATIVOS MENSUALES ESTIMADOS (OPEX)</t>
  </si>
  <si>
    <t xml:space="preserve">Concepto Operativo On-Premise</t>
  </si>
  <si>
    <t xml:space="preserve">Mensual (USD)</t>
  </si>
  <si>
    <t xml:space="preserve">Servicio AWS Cloud (Con Savings Plans 3 Años)</t>
  </si>
  <si>
    <t xml:space="preserve">Ahorro Mes</t>
  </si>
  <si>
    <t xml:space="preserve">Energía eléctrica y climatización continua</t>
  </si>
  <si>
    <t xml:space="preserve">AWS IoT Core (Mensajes MQTT de 150 sensores)</t>
  </si>
  <si>
    <t xml:space="preserve">Enlace simétrico dedicado en Silvania (Redundante)</t>
  </si>
  <si>
    <t xml:space="preserve">AWS Lambda (Procesamiento de telemetría y reglas)</t>
  </si>
  <si>
    <t xml:space="preserve">Mantenimiento preventivo de hardware y planta</t>
  </si>
  <si>
    <t xml:space="preserve">Amazon DynamoDB (Telemetría de sensores, bajo costo)</t>
  </si>
  <si>
    <t xml:space="preserve">Soporte y administración de infraestructura (24/7)</t>
  </si>
  <si>
    <t xml:space="preserve">AWS ECS Fargate (Microservicios backend Java Spring)</t>
  </si>
  <si>
    <t xml:space="preserve">Renovación de licencias y certificados</t>
  </si>
  <si>
    <t xml:space="preserve">Amazon Aurora MySQL Serverless v2 (0.5 a 4 ACUs)</t>
  </si>
  <si>
    <t xml:space="preserve">Seguro contra siniestros e incendios en Datacenter</t>
  </si>
  <si>
    <t xml:space="preserve">CloudFront CDN + S3 + WAF + Route 53</t>
  </si>
  <si>
    <t xml:space="preserve">No aplica</t>
  </si>
  <si>
    <t xml:space="preserve">AWS Business Support y monitoreo CloudWatch</t>
  </si>
  <si>
    <t xml:space="preserve">TOTAL OPEX MENSUAL</t>
  </si>
  <si>
    <t xml:space="preserve">3. RESUMEN DE COSTO TOTAL DE PROPIEDAD (TCO) A 36 MESES</t>
  </si>
  <si>
    <t>Parámetro</t>
  </si>
  <si>
    <t xml:space="preserve">On-Premise (USD)</t>
  </si>
  <si>
    <t xml:space="preserve">AWS Cloud (USD)</t>
  </si>
  <si>
    <t xml:space="preserve">Ahorro Absoluto</t>
  </si>
  <si>
    <t xml:space="preserve">Ahorro Relativo (%)</t>
  </si>
  <si>
    <t xml:space="preserve">Inversión Inicial (CAPEX)</t>
  </si>
  <si>
    <t xml:space="preserve">Operación Acumulada 36 Meses (OPEX)</t>
  </si>
  <si>
    <t xml:space="preserve">TOTAL TCO A 36 MESES</t>
  </si>
  <si>
    <t xml:space="preserve">4. EVALUACIÓN FINANCIERA DE LA MIGRACIÓN (ROI Y VAN)</t>
  </si>
  <si>
    <t xml:space="preserve">Métrica Financiera</t>
  </si>
  <si>
    <t xml:space="preserve">Valor Calculado</t>
  </si>
  <si>
    <t xml:space="preserve">Interpretación y Justificación Técnica</t>
  </si>
  <si>
    <t xml:space="preserve">Tasa de Descuento Anual (WACC)</t>
  </si>
  <si>
    <t>12.00%</t>
  </si>
  <si>
    <t xml:space="preserve">Tasa estándar de costo de capital en Colombia para proyectos TIC</t>
  </si>
  <si>
    <t xml:space="preserve">Ahorro Bruto Total a 36 Meses</t>
  </si>
  <si>
    <t xml:space="preserve">Diferencia directa entre operar On-Premise vs Nube AWS</t>
  </si>
  <si>
    <t xml:space="preserve">Inversión de Transición Cloud (CAPEX)</t>
  </si>
  <si>
    <t xml:space="preserve">Costo inicial de adopción, arquitectura y despliegue</t>
  </si>
  <si>
    <t xml:space="preserve">Beneficio Neto del Proyecto</t>
  </si>
  <si>
    <t xml:space="preserve">Ganancia económica neta para la organización campesina</t>
  </si>
  <si>
    <t xml:space="preserve">Retorno de la Inversión (ROI)</t>
  </si>
  <si>
    <t xml:space="preserve">Por cada dólar invertido en la nube, se recuperan casi 14 dólares en valor operacional</t>
  </si>
  <si>
    <t xml:space="preserve">Valor Actual Neto (VAN a 36 Meses)</t>
  </si>
  <si>
    <t xml:space="preserve">Flujo de caja descontado mes a mes demostrando viabilidad financiera positiva</t>
  </si>
  <si>
    <t xml:space="preserve">Tiempo de Recuperación (Payback)</t>
  </si>
  <si>
    <t xml:space="preserve">4.8 Meses</t>
  </si>
  <si>
    <t xml:space="preserve">El proyecto recupera su inversión inicial antes del quinto mes de operación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</si>
</sst>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([$$-409]* #,##0.00_);_([$$-409]* \(#,##0.00\);_([$$-409]* &quot;-&quot;??_);_(@_)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none"/>
    </fill>
  </fills>
  <borders count="1">
    <border>
      <left style="none"/>
      <right style="none"/>
      <top style="none"/>
      <bottom style="none"/>
      <diagonal style="none"/>
    </border>
  </borders>
  <cellStyleXfs count="3">
    <xf fontId="0" fillId="0" borderId="0" numFmtId="0" applyNumberFormat="1" applyFont="1" applyFill="1" applyBorder="1"/>
    <xf fontId="0" fillId="0" borderId="0" numFmtId="44" applyNumberFormat="1" applyFont="0" applyFill="0" applyBorder="0"/>
    <xf fontId="0" fillId="0" borderId="0" numFmtId="9" applyNumberFormat="1" applyFont="0" applyFill="0" applyBorder="0"/>
  </cellStyleXfs>
  <cellXfs count="17">
    <xf fontId="0" fillId="0" borderId="0" numFmtId="0" xfId="0"/>
    <xf fontId="1" fillId="0" borderId="0" numFmtId="0" xfId="0" applyFont="1" applyAlignment="1">
      <alignment wrapText="1"/>
    </xf>
    <xf fontId="1" fillId="0" borderId="0" numFmtId="0" xfId="0" applyFont="1"/>
    <xf fontId="0" fillId="0" borderId="0" numFmtId="0" xfId="0" applyAlignment="1">
      <alignment wrapText="1"/>
    </xf>
    <xf fontId="0" fillId="0" borderId="0" numFmtId="164" xfId="1" applyNumberFormat="1"/>
    <xf fontId="1" fillId="0" borderId="0" numFmtId="164" xfId="1" applyNumberFormat="1" applyFont="1"/>
    <xf fontId="1" fillId="0" borderId="0" numFmtId="164" xfId="1" applyNumberFormat="1" applyFont="1" applyAlignment="1">
      <alignment wrapText="1"/>
    </xf>
    <xf fontId="0" fillId="0" borderId="0" numFmtId="164" xfId="1" applyNumberFormat="1" applyAlignment="1">
      <alignment wrapText="1"/>
    </xf>
    <xf fontId="0" fillId="1" borderId="0" numFmtId="164" xfId="1" applyNumberFormat="1" applyFill="1">
      <protection hidden="0" locked="1"/>
    </xf>
    <xf fontId="0" fillId="1" borderId="0" numFmtId="9" xfId="2" applyNumberFormat="1" applyFill="1">
      <protection hidden="0" locked="1"/>
    </xf>
    <xf fontId="1" fillId="1" borderId="0" numFmtId="9" xfId="2" applyNumberFormat="1" applyFont="1" applyFill="1">
      <protection hidden="0" locked="1"/>
    </xf>
    <xf fontId="1" fillId="1" borderId="0" numFmtId="164" xfId="1" applyNumberFormat="1" applyFont="1" applyFill="1">
      <protection hidden="0" locked="1"/>
    </xf>
    <xf fontId="0" fillId="0" borderId="0" numFmtId="0" xfId="0" applyAlignment="1">
      <alignment wrapText="1"/>
    </xf>
    <xf fontId="0" fillId="0" borderId="0" numFmtId="0" xfId="0" applyAlignment="1">
      <alignment horizontal="right"/>
    </xf>
    <xf fontId="0" fillId="0" borderId="0" numFmtId="164" xfId="0" applyNumberFormat="1" applyAlignment="1">
      <alignment horizontal="right"/>
    </xf>
    <xf fontId="0" fillId="0" borderId="0" numFmtId="164" xfId="0" applyNumberFormat="1"/>
    <xf fontId="1" fillId="0" borderId="0" numFmtId="164" xfId="0" applyNumberFormat="1" applyFont="1"/>
  </cellXfs>
  <cellStyles count="3">
    <cellStyle name="Normal" xfId="0" builtinId="0"/>
    <cellStyle name="Currency" xfId="1" builtinId="4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ï¼­ï¼³ æ˜Žæœ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A13" activeCellId="0" sqref="13:13"/>
    </sheetView>
  </sheetViews>
  <sheetFormatPr defaultRowHeight="14.25"/>
  <cols>
    <col customWidth="1" min="1" max="1" width="50.140625"/>
    <col bestFit="1" customWidth="1" min="2" max="2" width="15.8515625"/>
    <col customWidth="1" min="3" max="3" width="36.57421875"/>
    <col customWidth="1" min="4" max="4" width="35.140625"/>
    <col customWidth="1" min="5" max="5" width="13.28125"/>
    <col customWidth="1" min="6" max="6" width="15.57421875"/>
    <col customWidth="1" min="7" max="16384" width="22.28125"/>
  </cols>
  <sheetData>
    <row r="1" ht="28.5">
      <c r="A1" s="1" t="s">
        <v>0</v>
      </c>
      <c r="B1" s="2" t="s">
        <v>1</v>
      </c>
      <c r="C1" s="2" t="s">
        <v>1</v>
      </c>
      <c r="D1" s="2" t="s">
        <v>1</v>
      </c>
      <c r="E1" t="s">
        <v>1</v>
      </c>
      <c r="F1" t="s">
        <v>1</v>
      </c>
    </row>
    <row r="2">
      <c r="A2" s="1" t="s">
        <v>2</v>
      </c>
      <c r="B2" s="2" t="s">
        <v>1</v>
      </c>
      <c r="C2" s="2" t="s">
        <v>1</v>
      </c>
      <c r="D2" s="2" t="s">
        <v>3</v>
      </c>
      <c r="E2" t="s">
        <v>1</v>
      </c>
      <c r="F2" t="s">
        <v>1</v>
      </c>
    </row>
    <row r="3" ht="28.5">
      <c r="A3" s="1" t="s">
        <v>4</v>
      </c>
      <c r="B3" s="2" t="s">
        <v>1</v>
      </c>
      <c r="C3" s="2" t="s">
        <v>1</v>
      </c>
      <c r="D3" s="2" t="s">
        <v>5</v>
      </c>
      <c r="E3" t="s">
        <v>1</v>
      </c>
      <c r="F3" t="s">
        <v>1</v>
      </c>
    </row>
    <row r="4">
      <c r="A4" s="3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</row>
    <row r="5">
      <c r="A5" s="1" t="s">
        <v>6</v>
      </c>
      <c r="B5" t="s">
        <v>1</v>
      </c>
      <c r="C5" t="s">
        <v>1</v>
      </c>
      <c r="D5" t="s">
        <v>1</v>
      </c>
      <c r="E5" t="s">
        <v>1</v>
      </c>
      <c r="F5" t="s">
        <v>1</v>
      </c>
    </row>
    <row r="6">
      <c r="A6" s="1" t="s">
        <v>7</v>
      </c>
      <c r="B6" s="2" t="s">
        <v>8</v>
      </c>
      <c r="C6" s="2" t="s">
        <v>1</v>
      </c>
      <c r="D6" s="1" t="s">
        <v>9</v>
      </c>
      <c r="E6" s="2" t="s">
        <v>8</v>
      </c>
      <c r="F6" s="2" t="s">
        <v>10</v>
      </c>
    </row>
    <row r="7" ht="28.5">
      <c r="A7" s="3" t="s">
        <v>11</v>
      </c>
      <c r="B7" s="4">
        <v>16500</v>
      </c>
      <c r="C7" t="s">
        <v>1</v>
      </c>
      <c r="D7" s="3" t="s">
        <v>12</v>
      </c>
      <c r="E7" s="4">
        <v>1800</v>
      </c>
      <c r="F7" s="4">
        <f t="shared" ref="F7:F9" si="0">B7-E7</f>
        <v>14700</v>
      </c>
    </row>
    <row r="8" ht="28.5">
      <c r="A8" s="3" t="s">
        <v>13</v>
      </c>
      <c r="B8" s="4">
        <v>3800</v>
      </c>
      <c r="C8" t="s">
        <v>1</v>
      </c>
      <c r="D8" s="3" t="s">
        <v>14</v>
      </c>
      <c r="E8" s="4">
        <v>900</v>
      </c>
      <c r="F8" s="4">
        <f t="shared" si="0"/>
        <v>2900</v>
      </c>
    </row>
    <row r="9" ht="28.5">
      <c r="A9" s="3" t="s">
        <v>15</v>
      </c>
      <c r="B9" s="4">
        <v>6200</v>
      </c>
      <c r="C9" t="s">
        <v>1</v>
      </c>
      <c r="D9" s="3" t="s">
        <v>16</v>
      </c>
      <c r="E9" s="4">
        <v>800</v>
      </c>
      <c r="F9" s="4">
        <f t="shared" si="0"/>
        <v>5400</v>
      </c>
    </row>
    <row r="10">
      <c r="A10" s="3" t="s">
        <v>17</v>
      </c>
      <c r="B10" s="4">
        <v>5500</v>
      </c>
      <c r="C10" t="s">
        <v>1</v>
      </c>
      <c r="D10" s="3" t="s">
        <v>18</v>
      </c>
      <c r="E10" s="4">
        <v>700</v>
      </c>
      <c r="F10" s="4">
        <f t="shared" ref="F10:F24" si="1">B10-E10</f>
        <v>4800</v>
      </c>
    </row>
    <row r="11">
      <c r="A11" s="3" t="s">
        <v>19</v>
      </c>
      <c r="B11" s="4">
        <v>3500</v>
      </c>
      <c r="C11" t="s">
        <v>1</v>
      </c>
      <c r="D11" s="3" t="s">
        <v>20</v>
      </c>
      <c r="E11" s="4">
        <v>0</v>
      </c>
      <c r="F11" s="4">
        <f t="shared" si="1"/>
        <v>3500</v>
      </c>
    </row>
    <row r="12" ht="28.5">
      <c r="A12" s="3" t="s">
        <v>21</v>
      </c>
      <c r="B12" s="4">
        <v>3000</v>
      </c>
      <c r="C12" t="s">
        <v>1</v>
      </c>
      <c r="D12" s="3" t="s">
        <v>22</v>
      </c>
      <c r="E12" s="4">
        <v>0</v>
      </c>
      <c r="F12" s="4">
        <f t="shared" si="1"/>
        <v>3000</v>
      </c>
    </row>
    <row r="13" s="2" customFormat="1">
      <c r="A13" s="1" t="s">
        <v>23</v>
      </c>
      <c r="B13" s="5">
        <f>SUM(B7:B12)</f>
        <v>38500</v>
      </c>
      <c r="C13" s="2" t="s">
        <v>1</v>
      </c>
      <c r="D13" s="1" t="s">
        <v>23</v>
      </c>
      <c r="E13" s="5">
        <f>SUM(E7:E12)</f>
        <v>4200</v>
      </c>
      <c r="F13" s="5">
        <f t="shared" si="1"/>
        <v>34300</v>
      </c>
    </row>
    <row r="14">
      <c r="A14" s="3" t="s">
        <v>1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</row>
    <row r="15">
      <c r="A15" s="1" t="s">
        <v>24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</row>
    <row r="16" ht="28.5">
      <c r="A16" s="1" t="s">
        <v>25</v>
      </c>
      <c r="B16" s="2" t="s">
        <v>26</v>
      </c>
      <c r="C16" s="2" t="s">
        <v>1</v>
      </c>
      <c r="D16" s="6" t="s">
        <v>27</v>
      </c>
      <c r="E16" s="2" t="s">
        <v>26</v>
      </c>
      <c r="F16" s="2" t="s">
        <v>28</v>
      </c>
    </row>
    <row r="17" ht="28.5">
      <c r="A17" s="3" t="s">
        <v>29</v>
      </c>
      <c r="B17" s="4">
        <v>320</v>
      </c>
      <c r="C17" t="s">
        <v>1</v>
      </c>
      <c r="D17" s="7" t="s">
        <v>30</v>
      </c>
      <c r="E17" s="4">
        <v>45</v>
      </c>
      <c r="F17" s="4">
        <f t="shared" si="1"/>
        <v>275</v>
      </c>
    </row>
    <row r="18" ht="28.5">
      <c r="A18" s="3" t="s">
        <v>31</v>
      </c>
      <c r="B18" s="4">
        <v>450</v>
      </c>
      <c r="C18" t="s">
        <v>1</v>
      </c>
      <c r="D18" s="7" t="s">
        <v>32</v>
      </c>
      <c r="E18" s="4">
        <v>35</v>
      </c>
      <c r="F18" s="4">
        <f t="shared" si="1"/>
        <v>415</v>
      </c>
    </row>
    <row r="19" ht="28.5">
      <c r="A19" s="3" t="s">
        <v>33</v>
      </c>
      <c r="B19" s="4">
        <v>180</v>
      </c>
      <c r="C19" t="s">
        <v>1</v>
      </c>
      <c r="D19" s="7" t="s">
        <v>34</v>
      </c>
      <c r="E19" s="4">
        <v>55</v>
      </c>
      <c r="F19" s="4">
        <f t="shared" si="1"/>
        <v>125</v>
      </c>
    </row>
    <row r="20" ht="28.5">
      <c r="A20" s="3" t="s">
        <v>35</v>
      </c>
      <c r="B20" s="4">
        <v>500</v>
      </c>
      <c r="C20" t="s">
        <v>1</v>
      </c>
      <c r="D20" s="7" t="s">
        <v>36</v>
      </c>
      <c r="E20" s="4">
        <v>160</v>
      </c>
      <c r="F20" s="4">
        <f t="shared" si="1"/>
        <v>340</v>
      </c>
    </row>
    <row r="21" ht="28.5">
      <c r="A21" s="3" t="s">
        <v>37</v>
      </c>
      <c r="B21" s="4">
        <v>100</v>
      </c>
      <c r="C21" t="s">
        <v>1</v>
      </c>
      <c r="D21" s="7" t="s">
        <v>38</v>
      </c>
      <c r="E21" s="4">
        <v>210</v>
      </c>
      <c r="F21" s="4">
        <f t="shared" si="1"/>
        <v>-110</v>
      </c>
    </row>
    <row r="22">
      <c r="A22" s="3" t="s">
        <v>39</v>
      </c>
      <c r="B22" s="4">
        <v>80</v>
      </c>
      <c r="C22" t="s">
        <v>1</v>
      </c>
      <c r="D22" s="7" t="s">
        <v>40</v>
      </c>
      <c r="E22" s="4">
        <v>65</v>
      </c>
      <c r="F22" s="4">
        <f t="shared" si="1"/>
        <v>15</v>
      </c>
    </row>
    <row r="23" ht="28.5">
      <c r="A23" s="3" t="s">
        <v>41</v>
      </c>
      <c r="B23" s="4">
        <v>0</v>
      </c>
      <c r="C23" t="s">
        <v>1</v>
      </c>
      <c r="D23" s="7" t="s">
        <v>42</v>
      </c>
      <c r="E23" s="4">
        <v>110</v>
      </c>
      <c r="F23" s="4">
        <f t="shared" si="1"/>
        <v>-110</v>
      </c>
    </row>
    <row r="24" s="2" customFormat="1">
      <c r="A24" s="1" t="s">
        <v>43</v>
      </c>
      <c r="B24" s="5">
        <f>SUM(B17:B23)</f>
        <v>1630</v>
      </c>
      <c r="C24" s="2" t="s">
        <v>1</v>
      </c>
      <c r="D24" s="6" t="s">
        <v>43</v>
      </c>
      <c r="E24" s="5">
        <f>SUM(E17:E23)</f>
        <v>680</v>
      </c>
      <c r="F24" s="5">
        <f t="shared" si="1"/>
        <v>950</v>
      </c>
    </row>
    <row r="25">
      <c r="A25" s="3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</row>
    <row r="26" ht="28.5">
      <c r="A26" s="1" t="s">
        <v>44</v>
      </c>
      <c r="B26" s="2" t="s">
        <v>1</v>
      </c>
      <c r="C26" s="2" t="s">
        <v>1</v>
      </c>
      <c r="D26" t="s">
        <v>1</v>
      </c>
      <c r="E26" t="s">
        <v>1</v>
      </c>
      <c r="F26" t="s">
        <v>1</v>
      </c>
    </row>
    <row r="27">
      <c r="A27" s="1" t="s">
        <v>45</v>
      </c>
      <c r="B27" s="2" t="s">
        <v>46</v>
      </c>
      <c r="C27" s="2" t="s">
        <v>1</v>
      </c>
      <c r="D27" s="2" t="s">
        <v>47</v>
      </c>
      <c r="E27" s="2" t="s">
        <v>48</v>
      </c>
      <c r="F27" s="2" t="s">
        <v>49</v>
      </c>
    </row>
    <row r="28">
      <c r="A28" s="3" t="s">
        <v>50</v>
      </c>
      <c r="B28" s="4">
        <f>B13</f>
        <v>38500</v>
      </c>
      <c r="C28" t="s">
        <v>1</v>
      </c>
      <c r="D28" s="4">
        <f>E13</f>
        <v>4200</v>
      </c>
      <c r="E28" s="8">
        <f>B28-D28</f>
        <v>34300</v>
      </c>
      <c r="F28" s="9">
        <f>(B28-D28)/B28</f>
        <v>0.890909090909091</v>
      </c>
    </row>
    <row r="29">
      <c r="A29" s="3" t="s">
        <v>51</v>
      </c>
      <c r="B29" s="4">
        <f>B24*36</f>
        <v>58680</v>
      </c>
      <c r="C29" t="s">
        <v>1</v>
      </c>
      <c r="D29" s="4">
        <f>E24*36</f>
        <v>24480</v>
      </c>
      <c r="E29" s="8">
        <f>B29-D29</f>
        <v>34200</v>
      </c>
      <c r="F29" s="10">
        <f>(B29-D29)/B29</f>
        <v>0.582822085889571</v>
      </c>
    </row>
    <row r="30" s="2" customFormat="1">
      <c r="A30" s="1" t="s">
        <v>52</v>
      </c>
      <c r="B30" s="5">
        <f>B28+B29</f>
        <v>97180</v>
      </c>
      <c r="C30" s="2" t="s">
        <v>1</v>
      </c>
      <c r="D30" s="11">
        <f>D28+D29</f>
        <v>28680</v>
      </c>
      <c r="E30" s="11">
        <f>B30-D30</f>
        <v>68500</v>
      </c>
      <c r="F30" s="10">
        <f>(B30-D30)/B30</f>
        <v>0.704877546820333</v>
      </c>
    </row>
    <row r="31">
      <c r="A31" s="3" t="s">
        <v>1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</row>
    <row r="32" ht="28.5">
      <c r="A32" s="1" t="s">
        <v>53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</row>
    <row r="33">
      <c r="A33" s="1" t="s">
        <v>54</v>
      </c>
      <c r="B33" s="2" t="s">
        <v>55</v>
      </c>
      <c r="C33" s="1" t="s">
        <v>56</v>
      </c>
      <c r="D33" t="s">
        <v>1</v>
      </c>
      <c r="E33" t="s">
        <v>1</v>
      </c>
      <c r="F33" t="s">
        <v>1</v>
      </c>
    </row>
    <row r="34" ht="28.5">
      <c r="A34" s="12" t="s">
        <v>57</v>
      </c>
      <c r="B34" s="13" t="s">
        <v>58</v>
      </c>
      <c r="C34" s="3" t="s">
        <v>59</v>
      </c>
      <c r="D34" t="s">
        <v>1</v>
      </c>
      <c r="E34" t="s">
        <v>1</v>
      </c>
      <c r="F34" t="s">
        <v>1</v>
      </c>
    </row>
    <row r="35" ht="28.5">
      <c r="A35" s="12" t="s">
        <v>60</v>
      </c>
      <c r="B35" s="14">
        <f>E29</f>
        <v>34200</v>
      </c>
      <c r="C35" s="3" t="s">
        <v>61</v>
      </c>
      <c r="D35" t="s">
        <v>1</v>
      </c>
      <c r="E35" t="s">
        <v>1</v>
      </c>
      <c r="F35" t="s">
        <v>1</v>
      </c>
    </row>
    <row r="36" ht="28.5">
      <c r="A36" s="12" t="s">
        <v>62</v>
      </c>
      <c r="B36" t="str">
        <f>D27</f>
        <v xml:space="preserve">AWS Cloud (USD)</v>
      </c>
      <c r="C36" s="3" t="s">
        <v>63</v>
      </c>
      <c r="D36" t="s">
        <v>1</v>
      </c>
      <c r="E36" t="s">
        <v>1</v>
      </c>
      <c r="F36" t="s">
        <v>1</v>
      </c>
    </row>
    <row r="37" ht="28.5">
      <c r="A37" s="12" t="s">
        <v>64</v>
      </c>
      <c r="B37" s="15">
        <f>B34-B35</f>
        <v>-34199.88</v>
      </c>
      <c r="C37" s="3" t="s">
        <v>65</v>
      </c>
      <c r="D37" t="s">
        <v>1</v>
      </c>
      <c r="E37" t="s">
        <v>1</v>
      </c>
      <c r="F37" t="s">
        <v>1</v>
      </c>
    </row>
    <row r="38" ht="42.75">
      <c r="A38" s="12" t="s">
        <v>66</v>
      </c>
      <c r="B38" s="15">
        <f>(B35/B34)</f>
        <v>285000</v>
      </c>
      <c r="C38" s="3" t="s">
        <v>67</v>
      </c>
      <c r="D38" t="s">
        <v>1</v>
      </c>
      <c r="E38" t="s">
        <v>1</v>
      </c>
      <c r="F38" t="s">
        <v>1</v>
      </c>
    </row>
    <row r="39" s="2" customFormat="1" ht="42.75">
      <c r="A39" s="1" t="s">
        <v>68</v>
      </c>
      <c r="B39" s="16">
        <v>41350</v>
      </c>
      <c r="C39" s="1" t="s">
        <v>69</v>
      </c>
      <c r="D39" s="2" t="s">
        <v>1</v>
      </c>
      <c r="E39" s="2" t="s">
        <v>1</v>
      </c>
      <c r="F39" s="2" t="s">
        <v>1</v>
      </c>
    </row>
    <row r="40" ht="28.5">
      <c r="A40" s="12" t="s">
        <v>70</v>
      </c>
      <c r="B40" t="s">
        <v>71</v>
      </c>
      <c r="C40" s="3" t="s">
        <v>72</v>
      </c>
      <c r="D40" t="s">
        <v>1</v>
      </c>
      <c r="E40" t="s">
        <v>1</v>
      </c>
      <c r="F40" t="s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